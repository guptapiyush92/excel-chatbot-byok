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307426/Documents/IECOE/Projects/excel_chatbot/"/>
    </mc:Choice>
  </mc:AlternateContent>
  <xr:revisionPtr revIDLastSave="0" documentId="13_ncr:1_{9950538C-121F-CD4B-BB7A-E0EAB2577754}" xr6:coauthVersionLast="47" xr6:coauthVersionMax="47" xr10:uidLastSave="{00000000-0000-0000-0000-000000000000}"/>
  <bookViews>
    <workbookView xWindow="1080" yWindow="2720" windowWidth="27240" windowHeight="16180" activeTab="2" xr2:uid="{C69B3D05-D800-6C4E-BE74-A20A2C95B5BD}"/>
  </bookViews>
  <sheets>
    <sheet name="Mort" sheetId="1" r:id="rId1"/>
    <sheet name="Lapse" sheetId="2" r:id="rId2"/>
    <sheet name="IMRB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C4" i="2"/>
  <c r="D4" i="2"/>
  <c r="E4" i="2"/>
  <c r="E5" i="2" s="1"/>
  <c r="E6" i="2" s="1"/>
  <c r="E7" i="2" s="1"/>
  <c r="E8" i="2" s="1"/>
  <c r="E9" i="2" s="1"/>
  <c r="F4" i="2"/>
  <c r="F5" i="2" s="1"/>
  <c r="F6" i="2" s="1"/>
  <c r="F7" i="2" s="1"/>
  <c r="F8" i="2" s="1"/>
  <c r="F9" i="2" s="1"/>
  <c r="G4" i="2"/>
  <c r="G5" i="2" s="1"/>
  <c r="G6" i="2" s="1"/>
  <c r="G7" i="2" s="1"/>
  <c r="G8" i="2" s="1"/>
  <c r="G9" i="2" s="1"/>
  <c r="H4" i="2"/>
  <c r="H5" i="2" s="1"/>
  <c r="H6" i="2" s="1"/>
  <c r="H7" i="2" s="1"/>
  <c r="H8" i="2" s="1"/>
  <c r="H9" i="2" s="1"/>
  <c r="I4" i="2"/>
  <c r="I5" i="2" s="1"/>
  <c r="I6" i="2" s="1"/>
  <c r="I7" i="2" s="1"/>
  <c r="I8" i="2" s="1"/>
  <c r="I9" i="2" s="1"/>
  <c r="J4" i="2"/>
  <c r="J5" i="2" s="1"/>
  <c r="J6" i="2" s="1"/>
  <c r="J7" i="2" s="1"/>
  <c r="J8" i="2" s="1"/>
  <c r="J9" i="2" s="1"/>
  <c r="K4" i="2"/>
  <c r="K5" i="2" s="1"/>
  <c r="K6" i="2" s="1"/>
  <c r="K7" i="2" s="1"/>
  <c r="K8" i="2" s="1"/>
  <c r="K9" i="2" s="1"/>
  <c r="B5" i="2"/>
  <c r="B6" i="2" s="1"/>
  <c r="B7" i="2" s="1"/>
  <c r="B8" i="2" s="1"/>
  <c r="B9" i="2" s="1"/>
  <c r="C5" i="2"/>
  <c r="C6" i="2" s="1"/>
  <c r="C7" i="2" s="1"/>
  <c r="C8" i="2" s="1"/>
  <c r="C9" i="2" s="1"/>
  <c r="D5" i="2"/>
  <c r="D6" i="2"/>
  <c r="D7" i="2" s="1"/>
  <c r="D8" i="2" s="1"/>
  <c r="D9" i="2" s="1"/>
  <c r="C3" i="2"/>
  <c r="D3" i="2"/>
  <c r="E3" i="2"/>
  <c r="F3" i="2"/>
  <c r="G3" i="2"/>
  <c r="H3" i="2"/>
  <c r="I3" i="2"/>
  <c r="J3" i="2"/>
  <c r="K3" i="2"/>
  <c r="B3" i="2"/>
  <c r="J2" i="2"/>
  <c r="K2" i="2" s="1"/>
  <c r="I2" i="2"/>
  <c r="D2" i="2"/>
  <c r="E2" i="2" s="1"/>
  <c r="F2" i="2" s="1"/>
  <c r="G2" i="2" s="1"/>
  <c r="H2" i="2" s="1"/>
  <c r="C2" i="2"/>
  <c r="D1" i="2"/>
  <c r="E1" i="2" s="1"/>
  <c r="F1" i="2" s="1"/>
  <c r="G1" i="2" s="1"/>
  <c r="H1" i="2" s="1"/>
  <c r="I1" i="2" s="1"/>
  <c r="J1" i="2" s="1"/>
  <c r="K1" i="2" s="1"/>
  <c r="C1" i="2"/>
</calcChain>
</file>

<file path=xl/sharedStrings.xml><?xml version="1.0" encoding="utf-8"?>
<sst xmlns="http://schemas.openxmlformats.org/spreadsheetml/2006/main" count="43" uniqueCount="33">
  <si>
    <t>Mort_AssumpClass</t>
  </si>
  <si>
    <t>BaseTable</t>
  </si>
  <si>
    <t>Trend</t>
  </si>
  <si>
    <t>WOL21</t>
  </si>
  <si>
    <t>BaseRate</t>
  </si>
  <si>
    <t>Trend1</t>
  </si>
  <si>
    <t>Trend2</t>
  </si>
  <si>
    <t>WOL_Mort_Stat01</t>
  </si>
  <si>
    <t>WOL_Mort_Stat02</t>
  </si>
  <si>
    <t>WOL_Mort_Stat03</t>
  </si>
  <si>
    <t>WOL_Mort_Stat04</t>
  </si>
  <si>
    <t>WOL_Lapse_Stat01</t>
  </si>
  <si>
    <t>WOL_Lapse_Stat02</t>
  </si>
  <si>
    <t>WOL_Lapse_Stat03</t>
  </si>
  <si>
    <t>WOL_Lapse_Stat04</t>
  </si>
  <si>
    <t>IP_Lapse_Stat01</t>
  </si>
  <si>
    <t>IP_Lapse_Stat02</t>
  </si>
  <si>
    <t>IP_Lapse_Stat03</t>
  </si>
  <si>
    <t>IP_Lapse_Stat04</t>
  </si>
  <si>
    <t>Lapse_Class</t>
  </si>
  <si>
    <t>IMRB_Class</t>
  </si>
  <si>
    <t>IMRB_Dis_Stat01</t>
  </si>
  <si>
    <t>IMRB_Dis_Stat02</t>
  </si>
  <si>
    <t>IMRB_Dis_Stat03</t>
  </si>
  <si>
    <t>IMRB_Dis_Stat04</t>
  </si>
  <si>
    <t>Termination</t>
  </si>
  <si>
    <t>Incidence</t>
  </si>
  <si>
    <t>Incidence_1</t>
  </si>
  <si>
    <t>Incidence_2</t>
  </si>
  <si>
    <t>Termination_1</t>
  </si>
  <si>
    <t>Termination_2</t>
  </si>
  <si>
    <t>Mort_zero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</si>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</sst>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39F0-B0EA-9944-835D-11DE6C770870}">
  <dimension ref="A1:D6"/>
  <sheetViews>
    <sheetView workbookViewId="0">
      <selection activeCell="B2" sqref="B2"/>
    </sheetView>
  </sheetViews>
  <sheetFormatPr baseColWidth="10" defaultRowHeight="16" x14ac:dyDescent="0.2"/>
  <cols>
    <col min="1" max="1" width="16.6640625" bestFit="1" customWidth="1"/>
    <col min="2" max="2" width="16.6640625" customWidth="1"/>
  </cols>
  <sheetData>
    <row r="1" spans="1:4" x14ac:dyDescent="0.2">
      <c r="A1" t="s">
        <v>0</v>
      </c>
      <c r="B1" t="s">
        <v>4</v>
      </c>
      <c r="C1" t="s">
        <v>1</v>
      </c>
      <c r="D1" t="s">
        <v>2</v>
      </c>
    </row>
    <row r="2" spans="1:4" x14ac:dyDescent="0.2">
      <c r="A2" t="s">
        <v>7</v>
      </c>
      <c r="B2">
        <v>91</v>
      </c>
      <c r="C2" t="s">
        <v>3</v>
      </c>
      <c r="D2" t="s">
        <v>5</v>
      </c>
    </row>
    <row r="3" spans="1:4" x14ac:dyDescent="0.2">
      <c r="A3" t="s">
        <v>8</v>
      </c>
      <c r="B3">
        <v>95</v>
      </c>
      <c r="C3" t="s">
        <v>3</v>
      </c>
      <c r="D3" t="s">
        <v>6</v>
      </c>
    </row>
    <row r="4" spans="1:4" x14ac:dyDescent="0.2">
      <c r="A4" t="s">
        <v>9</v>
      </c>
      <c r="B4">
        <v>92</v>
      </c>
      <c r="C4" t="s">
        <v>3</v>
      </c>
      <c r="D4" t="s">
        <v>5</v>
      </c>
    </row>
    <row r="5" spans="1:4" x14ac:dyDescent="0.2">
      <c r="A5" t="s">
        <v>10</v>
      </c>
      <c r="B5">
        <v>94</v>
      </c>
      <c r="C5" t="s">
        <v>3</v>
      </c>
      <c r="D5" t="s">
        <v>6</v>
      </c>
    </row>
    <row r="6" spans="1:4" x14ac:dyDescent="0.2">
      <c r="A6" t="s">
        <v>31</v>
      </c>
      <c r="B6">
        <v>0</v>
      </c>
      <c r="C6" t="s">
        <v>32</v>
      </c>
      <c r="D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8600-393A-7449-9DD3-16B755607F5C}">
  <dimension ref="A1:K9"/>
  <sheetViews>
    <sheetView workbookViewId="0">
      <selection activeCell="I18" sqref="I18"/>
    </sheetView>
  </sheetViews>
  <sheetFormatPr baseColWidth="10" defaultRowHeight="16" x14ac:dyDescent="0.2"/>
  <cols>
    <col min="1" max="1" width="16.83203125" bestFit="1" customWidth="1"/>
  </cols>
  <sheetData>
    <row r="1" spans="1:11" x14ac:dyDescent="0.2">
      <c r="A1" t="s">
        <v>19</v>
      </c>
      <c r="B1">
        <v>1</v>
      </c>
      <c r="C1">
        <f>B1+1</f>
        <v>2</v>
      </c>
      <c r="D1">
        <f t="shared" ref="D1:K1" si="0">C1+1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</row>
    <row r="2" spans="1:11" x14ac:dyDescent="0.2">
      <c r="A2" t="s">
        <v>11</v>
      </c>
      <c r="B2" s="1">
        <v>12</v>
      </c>
      <c r="C2" s="1">
        <f>B2+1</f>
        <v>13</v>
      </c>
      <c r="D2" s="1">
        <f t="shared" ref="D2:H2" si="1">C2+1</f>
        <v>14</v>
      </c>
      <c r="E2" s="1">
        <f t="shared" si="1"/>
        <v>15</v>
      </c>
      <c r="F2" s="1">
        <f t="shared" si="1"/>
        <v>16</v>
      </c>
      <c r="G2" s="1">
        <f t="shared" si="1"/>
        <v>17</v>
      </c>
      <c r="H2" s="1">
        <f t="shared" si="1"/>
        <v>18</v>
      </c>
      <c r="I2" s="1">
        <f>H2+1</f>
        <v>19</v>
      </c>
      <c r="J2" s="1">
        <f t="shared" ref="J2:K2" si="2">I2+1</f>
        <v>20</v>
      </c>
      <c r="K2" s="1">
        <f t="shared" si="2"/>
        <v>21</v>
      </c>
    </row>
    <row r="3" spans="1:11" x14ac:dyDescent="0.2">
      <c r="A3" t="s">
        <v>12</v>
      </c>
      <c r="B3" s="1">
        <f>B2*0.5</f>
        <v>6</v>
      </c>
      <c r="C3" s="1">
        <f t="shared" ref="C3:K3" si="3">C2*0.5</f>
        <v>6.5</v>
      </c>
      <c r="D3" s="1">
        <f t="shared" si="3"/>
        <v>7</v>
      </c>
      <c r="E3" s="1">
        <f t="shared" si="3"/>
        <v>7.5</v>
      </c>
      <c r="F3" s="1">
        <f t="shared" si="3"/>
        <v>8</v>
      </c>
      <c r="G3" s="1">
        <f t="shared" si="3"/>
        <v>8.5</v>
      </c>
      <c r="H3" s="1">
        <f t="shared" si="3"/>
        <v>9</v>
      </c>
      <c r="I3" s="1">
        <f t="shared" si="3"/>
        <v>9.5</v>
      </c>
      <c r="J3" s="1">
        <f t="shared" si="3"/>
        <v>10</v>
      </c>
      <c r="K3" s="1">
        <f t="shared" si="3"/>
        <v>10.5</v>
      </c>
    </row>
    <row r="4" spans="1:11" x14ac:dyDescent="0.2">
      <c r="A4" t="s">
        <v>13</v>
      </c>
      <c r="B4" s="1">
        <f t="shared" ref="B4:B9" si="4">B3*0.5</f>
        <v>3</v>
      </c>
      <c r="C4" s="1">
        <f t="shared" ref="C4:C9" si="5">C3*0.5</f>
        <v>3.25</v>
      </c>
      <c r="D4" s="1">
        <f t="shared" ref="D4:D9" si="6">D3*0.5</f>
        <v>3.5</v>
      </c>
      <c r="E4" s="1">
        <f t="shared" ref="E4:E9" si="7">E3*0.5</f>
        <v>3.75</v>
      </c>
      <c r="F4" s="1">
        <f t="shared" ref="F4:F9" si="8">F3*0.5</f>
        <v>4</v>
      </c>
      <c r="G4" s="1">
        <f t="shared" ref="G4:G9" si="9">G3*0.5</f>
        <v>4.25</v>
      </c>
      <c r="H4" s="1">
        <f t="shared" ref="H4:H9" si="10">H3*0.5</f>
        <v>4.5</v>
      </c>
      <c r="I4" s="1">
        <f t="shared" ref="I4:I9" si="11">I3*0.5</f>
        <v>4.75</v>
      </c>
      <c r="J4" s="1">
        <f t="shared" ref="J4:J9" si="12">J3*0.5</f>
        <v>5</v>
      </c>
      <c r="K4" s="1">
        <f t="shared" ref="K4:K9" si="13">K3*0.5</f>
        <v>5.25</v>
      </c>
    </row>
    <row r="5" spans="1:11" x14ac:dyDescent="0.2">
      <c r="A5" t="s">
        <v>14</v>
      </c>
      <c r="B5" s="1">
        <f t="shared" si="4"/>
        <v>1.5</v>
      </c>
      <c r="C5" s="1">
        <f t="shared" si="5"/>
        <v>1.625</v>
      </c>
      <c r="D5" s="1">
        <f t="shared" si="6"/>
        <v>1.75</v>
      </c>
      <c r="E5" s="1">
        <f t="shared" si="7"/>
        <v>1.875</v>
      </c>
      <c r="F5" s="1">
        <f t="shared" si="8"/>
        <v>2</v>
      </c>
      <c r="G5" s="1">
        <f t="shared" si="9"/>
        <v>2.125</v>
      </c>
      <c r="H5" s="1">
        <f t="shared" si="10"/>
        <v>2.25</v>
      </c>
      <c r="I5" s="1">
        <f t="shared" si="11"/>
        <v>2.375</v>
      </c>
      <c r="J5" s="1">
        <f t="shared" si="12"/>
        <v>2.5</v>
      </c>
      <c r="K5" s="1">
        <f t="shared" si="13"/>
        <v>2.625</v>
      </c>
    </row>
    <row r="6" spans="1:11" x14ac:dyDescent="0.2">
      <c r="A6" t="s">
        <v>15</v>
      </c>
      <c r="B6" s="1">
        <f t="shared" si="4"/>
        <v>0.75</v>
      </c>
      <c r="C6" s="1">
        <f t="shared" si="5"/>
        <v>0.8125</v>
      </c>
      <c r="D6" s="1">
        <f t="shared" si="6"/>
        <v>0.875</v>
      </c>
      <c r="E6" s="1">
        <f t="shared" si="7"/>
        <v>0.9375</v>
      </c>
      <c r="F6" s="1">
        <f t="shared" si="8"/>
        <v>1</v>
      </c>
      <c r="G6" s="1">
        <f t="shared" si="9"/>
        <v>1.0625</v>
      </c>
      <c r="H6" s="1">
        <f t="shared" si="10"/>
        <v>1.125</v>
      </c>
      <c r="I6" s="1">
        <f t="shared" si="11"/>
        <v>1.1875</v>
      </c>
      <c r="J6" s="1">
        <f t="shared" si="12"/>
        <v>1.25</v>
      </c>
      <c r="K6" s="1">
        <f t="shared" si="13"/>
        <v>1.3125</v>
      </c>
    </row>
    <row r="7" spans="1:11" x14ac:dyDescent="0.2">
      <c r="A7" t="s">
        <v>16</v>
      </c>
      <c r="B7" s="1">
        <f t="shared" si="4"/>
        <v>0.375</v>
      </c>
      <c r="C7" s="1">
        <f t="shared" si="5"/>
        <v>0.40625</v>
      </c>
      <c r="D7" s="1">
        <f t="shared" si="6"/>
        <v>0.4375</v>
      </c>
      <c r="E7" s="1">
        <f t="shared" si="7"/>
        <v>0.46875</v>
      </c>
      <c r="F7" s="1">
        <f t="shared" si="8"/>
        <v>0.5</v>
      </c>
      <c r="G7" s="1">
        <f t="shared" si="9"/>
        <v>0.53125</v>
      </c>
      <c r="H7" s="1">
        <f t="shared" si="10"/>
        <v>0.5625</v>
      </c>
      <c r="I7" s="1">
        <f t="shared" si="11"/>
        <v>0.59375</v>
      </c>
      <c r="J7" s="1">
        <f t="shared" si="12"/>
        <v>0.625</v>
      </c>
      <c r="K7" s="1">
        <f t="shared" si="13"/>
        <v>0.65625</v>
      </c>
    </row>
    <row r="8" spans="1:11" x14ac:dyDescent="0.2">
      <c r="A8" t="s">
        <v>17</v>
      </c>
      <c r="B8" s="1">
        <f t="shared" si="4"/>
        <v>0.1875</v>
      </c>
      <c r="C8" s="1">
        <f t="shared" si="5"/>
        <v>0.203125</v>
      </c>
      <c r="D8" s="1">
        <f t="shared" si="6"/>
        <v>0.21875</v>
      </c>
      <c r="E8" s="1">
        <f t="shared" si="7"/>
        <v>0.234375</v>
      </c>
      <c r="F8" s="1">
        <f t="shared" si="8"/>
        <v>0.25</v>
      </c>
      <c r="G8" s="1">
        <f t="shared" si="9"/>
        <v>0.265625</v>
      </c>
      <c r="H8" s="1">
        <f t="shared" si="10"/>
        <v>0.28125</v>
      </c>
      <c r="I8" s="1">
        <f t="shared" si="11"/>
        <v>0.296875</v>
      </c>
      <c r="J8" s="1">
        <f t="shared" si="12"/>
        <v>0.3125</v>
      </c>
      <c r="K8" s="1">
        <f t="shared" si="13"/>
        <v>0.328125</v>
      </c>
    </row>
    <row r="9" spans="1:11" x14ac:dyDescent="0.2">
      <c r="A9" t="s">
        <v>18</v>
      </c>
      <c r="B9" s="1">
        <f t="shared" si="4"/>
        <v>9.375E-2</v>
      </c>
      <c r="C9" s="1">
        <f t="shared" si="5"/>
        <v>0.1015625</v>
      </c>
      <c r="D9" s="1">
        <f t="shared" si="6"/>
        <v>0.109375</v>
      </c>
      <c r="E9" s="1">
        <f t="shared" si="7"/>
        <v>0.1171875</v>
      </c>
      <c r="F9" s="1">
        <f t="shared" si="8"/>
        <v>0.125</v>
      </c>
      <c r="G9" s="1">
        <f t="shared" si="9"/>
        <v>0.1328125</v>
      </c>
      <c r="H9" s="1">
        <f t="shared" si="10"/>
        <v>0.140625</v>
      </c>
      <c r="I9" s="1">
        <f t="shared" si="11"/>
        <v>0.1484375</v>
      </c>
      <c r="J9" s="1">
        <f t="shared" si="12"/>
        <v>0.15625</v>
      </c>
      <c r="K9" s="1">
        <f t="shared" si="13"/>
        <v>0.1640625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0D3FB-C542-AA46-98F6-22C23ABCF872}">
  <dimension ref="A1:C5"/>
  <sheetViews>
    <sheetView tabSelected="1" workbookViewId="0">
      <selection activeCell="B2" sqref="B2"/>
    </sheetView>
  </sheetViews>
  <sheetFormatPr baseColWidth="10" defaultRowHeight="16" x14ac:dyDescent="0.2"/>
  <cols>
    <col min="1" max="1" width="15.1640625" bestFit="1" customWidth="1"/>
  </cols>
  <sheetData>
    <row r="1" spans="1:3" x14ac:dyDescent="0.2">
      <c r="A1" t="s">
        <v>20</v>
      </c>
      <c r="B1" t="s">
        <v>26</v>
      </c>
      <c r="C1" t="s">
        <v>25</v>
      </c>
    </row>
    <row r="2" spans="1:3" x14ac:dyDescent="0.2">
      <c r="A2" t="s">
        <v>21</v>
      </c>
      <c r="B2" t="s">
        <v>27</v>
      </c>
      <c r="C2" t="s">
        <v>29</v>
      </c>
    </row>
    <row r="3" spans="1:3" x14ac:dyDescent="0.2">
      <c r="A3" t="s">
        <v>22</v>
      </c>
      <c r="B3" t="s">
        <v>28</v>
      </c>
      <c r="C3" t="s">
        <v>30</v>
      </c>
    </row>
    <row r="4" spans="1:3" x14ac:dyDescent="0.2">
      <c r="A4" t="s">
        <v>23</v>
      </c>
      <c r="B4" t="s">
        <v>28</v>
      </c>
      <c r="C4" t="s">
        <v>30</v>
      </c>
    </row>
    <row r="5" spans="1:3" x14ac:dyDescent="0.2">
      <c r="A5" t="s">
        <v>24</v>
      </c>
      <c r="B5" t="s">
        <v>27</v>
      </c>
      <c r="C5" t="s">
        <v>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Mort</vt:lpstr>
      <vt:lpstr>Lapse</vt:lpstr>
      <vt:lpstr>IMRB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Piyush</dc:creator>
  <cp:lastModifiedBy>Gupta, Piyush</cp:lastModifiedBy>
  <dcterms:created xsi:type="dcterms:W3CDTF">2026-04-12T07:06:15Z</dcterms:created>
  <dcterms:modified xsi:type="dcterms:W3CDTF">2026-04-12T07:47:00Z</dcterms:modified>
</cp:coreProperties>
</file>